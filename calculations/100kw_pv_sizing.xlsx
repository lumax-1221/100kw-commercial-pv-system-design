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541c64176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17cb4e6dc864d48"/>
    <x:sheet xmlns:r="http://schemas.openxmlformats.org/officeDocument/2006/relationships" name="Products" sheetId="2" r:id="R8e854b4e93954589"/>
    <x:sheet xmlns:r="http://schemas.openxmlformats.org/officeDocument/2006/relationships" name="String_Check" sheetId="3" r:id="R8ea5295db6a74014"/>
    <x:sheet xmlns:r="http://schemas.openxmlformats.org/officeDocument/2006/relationships" name="Schemes" sheetId="4" r:id="R86cea63cc8b8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#,##0"/>
    <x:numFmt numFmtId="202" formatCode="0.0"/>
    <x:numFmt numFmtId="203" formatCode="0.00%"/>
    <x:numFmt numFmtId="204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  <x:font>
      <x:i/>
      <x:sz val="10"/>
      <x:color rgb="FF4454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c2c7238094759" /><Relationship Type="http://schemas.openxmlformats.org/officeDocument/2006/relationships/theme" Target="/xl/theme/theme1.xml" Id="Ra64db904fe4f474e" /><Relationship Type="http://schemas.openxmlformats.org/officeDocument/2006/relationships/sharedStrings" Target="/xl/sharedStrings.xml" Id="Rd5b479f1c0e5447a" /><Relationship Type="http://schemas.openxmlformats.org/officeDocument/2006/relationships/worksheet" Target="/xl/worksheets/sheet1.xml" Id="R717cb4e6dc864d48" /><Relationship Type="http://schemas.openxmlformats.org/officeDocument/2006/relationships/worksheet" Target="/xl/worksheets/sheet2.xml" Id="R8e854b4e93954589" /><Relationship Type="http://schemas.openxmlformats.org/officeDocument/2006/relationships/worksheet" Target="/xl/worksheets/sheet3.xml" Id="R8ea5295db6a74014" /><Relationship Type="http://schemas.openxmlformats.org/officeDocument/2006/relationships/worksheet" Target="/xl/worksheets/sheet4.xml" Id="R86cea63cc8b847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41a11d10f749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三套方案容量比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容量比</c:v>
          </c:tx>
          <c:cat>
            <c:strRef>
              <c:f>'Schemes'!$A$10:$A$12</c:f>
              <c:strCache>
                <c:ptCount val="0"/>
              </c:strCache>
            </c:strRef>
          </c:cat>
          <c:val>
            <c:numRef>
              <c:f>'Schemes'!$B$10:$B$12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41a11d10f749b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9cc6af58ae74e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4" max="4" width="18" hidden="0" customWidth="1"/>
    <x:col min="5" max="5" width="38" hidden="0" customWidth="1"/>
    <x:col min="6" max="6" width="38" hidden="0" customWidth="1"/>
  </x:cols>
  <x:sheetData>
    <x:row r="1">
      <x:c r="A1" s="4" t="str">
        <x:v>100 kW 工商业屋顶光伏：输入与边界</x:v>
      </x:c>
      <x:c r="B1" s="4" t="str">
        <x:v>100 kW 工商业屋顶光伏：输入与边界</x:v>
      </x:c>
      <x:c r="C1" s="4" t="str">
        <x:v>100 kW 工商业屋顶光伏：输入与边界</x:v>
      </x:c>
      <x:c r="D1" s="4" t="str">
        <x:v>100 kW 工商业屋顶光伏：输入与边界</x:v>
      </x:c>
      <x:c r="E1" s="4" t="str">
        <x:v>100 kW 工商业屋顶光伏：输入与边界</x:v>
      </x:c>
      <x:c r="F1" s="4" t="str">
        <x:v>100 kW 工商业屋顶光伏：输入与边界</x:v>
      </x:c>
    </x:row>
    <x:row r="3">
      <x:c r="A3" s="9" t="str">
        <x:v>输入项</x:v>
      </x:c>
      <x:c r="B3" s="9" t="str">
        <x:v>取值</x:v>
      </x:c>
      <x:c r="D3" s="9" t="str">
        <x:v>边界提醒</x:v>
      </x:c>
      <x:c r="E3" s="9" t="str">
        <x:v>本表做初步选型，不替代施工图</x:v>
      </x:c>
      <x:c r="F3" s="9" t="str"/>
    </x:row>
    <x:row r="4">
      <x:c r="A4" s="12" t="str">
        <x:v>地点</x:v>
      </x:c>
      <x:c r="B4" s="12" t="str">
        <x:v>青岛</x:v>
      </x:c>
      <x:c r="D4" s="16" t="str">
        <x:v>包含</x:v>
      </x:c>
      <x:c r="E4" s="16" t="str">
        <x:v>组件/逆变器参数、组串约束、容量比、面积初核</x:v>
      </x:c>
      <x:c r="F4" s="16" t="str"/>
    </x:row>
    <x:row r="5">
      <x:c r="A5" s="12" t="str">
        <x:v>屋顶可用面积 (m²)</x:v>
      </x:c>
      <x:c r="B5" s="13" t="n">
        <x:v>800</x:v>
      </x:c>
      <x:c r="D5" s="16" t="str">
        <x:v>不包含</x:v>
      </x:c>
      <x:c r="E5" s="16" t="str">
        <x:v>结构承载、线缆截面、保护整定、并网审批、报价</x:v>
      </x:c>
      <x:c r="F5" s="16" t="str"/>
    </x:row>
    <x:row r="6">
      <x:c r="A6" s="12" t="str">
        <x:v>交流侧目标 (kW)</x:v>
      </x:c>
      <x:c r="B6" s="13" t="n">
        <x:v>100</x:v>
      </x:c>
      <x:c r="D6" s="16" t="str">
        <x:v>温度口径</x:v>
      </x:c>
      <x:c r="E6" s="16" t="str">
        <x:v>电池片温度假设，不等于环境温度</x:v>
      </x:c>
      <x:c r="F6" s="16" t="str"/>
    </x:row>
    <x:row r="7">
      <x:c r="A7" s="12" t="str">
        <x:v>并网电压 (V)</x:v>
      </x:c>
      <x:c r="B7" s="14" t="n">
        <x:v>400</x:v>
      </x:c>
      <x:c r="D7" s="16" t="str">
        <x:v>推荐阅读</x:v>
      </x:c>
      <x:c r="E7" s="16" t="str">
        <x:v>先看 String_Check，再看 Schemes</x:v>
      </x:c>
      <x:c r="F7" s="16" t="str"/>
    </x:row>
    <x:row r="8">
      <x:c r="A8" s="12" t="str">
        <x:v>最低电池片温度 (°C)</x:v>
      </x:c>
      <x:c r="B8" s="14" t="n">
        <x:v>-10</x:v>
      </x:c>
      <x:c r="D8" s="16" t="str">
        <x:v>来源</x:v>
      </x:c>
      <x:c r="E8" s="16" t="str">
        <x:v>见 Products 表 Source 列</x:v>
      </x:c>
      <x:c r="F8" s="16" t="str"/>
    </x:row>
    <x:row r="9">
      <x:c r="A9" s="12" t="str">
        <x:v>最高电池片温度 (°C)</x:v>
      </x:c>
      <x:c r="B9" s="12" t="n">
        <x:v>70</x:v>
      </x:c>
      <x:c r="D9" s="16" t="str">
        <x:v>SAM</x:v>
      </x:c>
      <x:c r="E9" s="16" t="str">
        <x:v>未填虚构年发电量，按 sam_method.md 后续运行</x:v>
      </x:c>
      <x:c r="F9" s="16" t="str"/>
    </x:row>
    <x:row r="10">
      <x:c r="A10" s="12" t="str">
        <x:v>屋顶面积利用系数</x:v>
      </x:c>
      <x:c r="B10" s="12" t="n">
        <x:v>1.25</x:v>
      </x:c>
    </x:row>
    <x:row r="11">
      <x:c r="A11" s="12" t="str">
        <x:v>系统类型</x:v>
      </x:c>
      <x:c r="B11" s="12" t="str">
        <x:v>并网、无储能</x:v>
      </x:c>
    </x:row>
    <x:row r="12">
      <x:c r="A12" s="12" t="str">
        <x:v>项目性质</x:v>
      </x:c>
      <x:c r="B12" s="12" t="str">
        <x:v>个人虚拟方案分析</x:v>
      </x:c>
    </x:row>
    <x:row r="13">
      <x:c r="A13" s="12" t="str">
        <x:v>数据访问日期</x:v>
      </x:c>
      <x:c r="B13" s="12" t="str">
        <x:v>2026-07-30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32" hidden="0" customWidth="1"/>
    <x:col min="13" max="13" width="48" hidden="0" customWidth="1"/>
    <x:col min="14" max="14" width="14" hidden="0" customWidth="1"/>
  </x:cols>
  <x:sheetData>
    <x:row r="1">
      <x:c r="A1" s="4" t="str">
        <x:v>组件与逆变器参数（公开资料摘录）</x:v>
      </x:c>
      <x:c r="B1" s="4" t="str">
        <x:v>组件与逆变器参数（公开资料摘录）</x:v>
      </x:c>
      <x:c r="C1" s="4" t="str">
        <x:v>组件与逆变器参数（公开资料摘录）</x:v>
      </x:c>
      <x:c r="D1" s="4" t="str">
        <x:v>组件与逆变器参数（公开资料摘录）</x:v>
      </x:c>
      <x:c r="E1" s="4" t="str">
        <x:v>组件与逆变器参数（公开资料摘录）</x:v>
      </x:c>
      <x:c r="F1" s="4" t="str">
        <x:v>组件与逆变器参数（公开资料摘录）</x:v>
      </x:c>
      <x:c r="G1" s="4" t="str">
        <x:v>组件与逆变器参数（公开资料摘录）</x:v>
      </x:c>
      <x:c r="H1" s="4" t="str">
        <x:v>组件与逆变器参数（公开资料摘录）</x:v>
      </x:c>
      <x:c r="I1" s="4" t="str">
        <x:v>组件与逆变器参数（公开资料摘录）</x:v>
      </x:c>
      <x:c r="J1" s="4" t="str">
        <x:v>组件与逆变器参数（公开资料摘录）</x:v>
      </x:c>
      <x:c r="K1" s="4" t="str">
        <x:v>组件与逆变器参数（公开资料摘录）</x:v>
      </x:c>
      <x:c r="L1" s="4" t="str">
        <x:v>组件与逆变器参数（公开资料摘录）</x:v>
      </x:c>
      <x:c r="M1" s="4" t="str">
        <x:v>组件与逆变器参数（公开资料摘录）</x:v>
      </x:c>
      <x:c r="N1" s="4" t="str">
        <x:v>组件与逆变器参数（公开资料摘录）</x:v>
      </x:c>
    </x:row>
    <x:row r="3">
      <x:c r="A3" s="9" t="str">
        <x:v>类别</x:v>
      </x:c>
      <x:c r="B3" s="9" t="str">
        <x:v>厂家</x:v>
      </x:c>
      <x:c r="C3" s="9" t="str">
        <x:v>型号</x:v>
      </x:c>
      <x:c r="D3" s="9" t="str">
        <x:v>Pmax / Pac</x:v>
      </x:c>
      <x:c r="E3" s="9" t="str">
        <x:v>Vmp / MPPT min</x:v>
      </x:c>
      <x:c r="F3" s="9" t="str">
        <x:v>Voc / Vdc max</x:v>
      </x:c>
      <x:c r="G3" s="9" t="str">
        <x:v>Imp / Imax</x:v>
      </x:c>
      <x:c r="H3" s="9" t="str">
        <x:v>Isc / Isc max</x:v>
      </x:c>
      <x:c r="I3" s="9" t="str">
        <x:v>beta Voc</x:v>
      </x:c>
      <x:c r="J3" s="9" t="str">
        <x:v>beta Vmp</x:v>
      </x:c>
      <x:c r="K3" s="9" t="str">
        <x:v>MPPT数</x:v>
      </x:c>
      <x:c r="L3" s="9" t="str">
        <x:v>尺寸/备注</x:v>
      </x:c>
      <x:c r="M3" s="9" t="str">
        <x:v>来源</x:v>
      </x:c>
      <x:c r="N3" s="9" t="str">
        <x:v>访问日期</x:v>
      </x:c>
    </x:row>
    <x:row r="4">
      <x:c r="A4" s="12" t="str">
        <x:v>组件</x:v>
      </x:c>
      <x:c r="B4" s="12" t="str">
        <x:v>Jinko</x:v>
      </x:c>
      <x:c r="C4" s="12" t="str">
        <x:v>JKM585N-72HL4-V</x:v>
      </x:c>
      <x:c r="D4" s="17" t="n">
        <x:v>585</x:v>
      </x:c>
      <x:c r="E4" s="17" t="n">
        <x:v>43.53</x:v>
      </x:c>
      <x:c r="F4" s="17" t="n">
        <x:v>52.47</x:v>
      </x:c>
      <x:c r="G4" s="17" t="n">
        <x:v>13.44</x:v>
      </x:c>
      <x:c r="H4" s="17" t="n">
        <x:v>14.07</x:v>
      </x:c>
      <x:c r="I4" s="18" t="n">
        <x:v>-0.0025</x:v>
      </x:c>
      <x:c r="J4" s="18" t="n">
        <x:v>-0.0029</x:v>
      </x:c>
      <x:c r="K4" s="12" t="str"/>
      <x:c r="L4" s="12" t="str">
        <x:v>2278×1134×35 mm</x:v>
      </x:c>
      <x:c r="M4" s="12" t="str">
        <x:v>https://www.jinkosolar.com/uploads/JKM565-585N-72HL4-%28V%29-F4-EN.pdf</x:v>
      </x:c>
      <x:c r="N4" s="12" t="str">
        <x:v>2026-07-30</x:v>
      </x:c>
    </x:row>
    <x:row r="5">
      <x:c r="A5" s="12" t="str">
        <x:v>组件</x:v>
      </x:c>
      <x:c r="B5" s="12" t="str">
        <x:v>Trina</x:v>
      </x:c>
      <x:c r="C5" s="12" t="str">
        <x:v>TSM-580DE19R.W</x:v>
      </x:c>
      <x:c r="D5" s="17" t="n">
        <x:v>580</x:v>
      </x:c>
      <x:c r="E5" s="17" t="n">
        <x:v>39</x:v>
      </x:c>
      <x:c r="F5" s="17" t="n">
        <x:v>46.3</x:v>
      </x:c>
      <x:c r="G5" s="17" t="n">
        <x:v>14.86</x:v>
      </x:c>
      <x:c r="H5" s="17" t="n">
        <x:v>15.94</x:v>
      </x:c>
      <x:c r="I5" s="18" t="n">
        <x:v>-0.0025</x:v>
      </x:c>
      <x:c r="J5" s="18" t="n">
        <x:v>-0.0034</x:v>
      </x:c>
      <x:c r="K5" s="12" t="str"/>
      <x:c r="L5" s="12" t="str">
        <x:v>2384×1134×35 mm</x:v>
      </x:c>
      <x:c r="M5" s="12" t="str">
        <x:v>https://static.trinasolar.com/sites/default/files/Datasheet_Vertex_DE19R.W_EU_2022A.pdf</x:v>
      </x:c>
      <x:c r="N5" s="12" t="str">
        <x:v>2026-07-30</x:v>
      </x:c>
    </x:row>
    <x:row r="6">
      <x:c r="A6" s="12" t="str">
        <x:v>逆变器</x:v>
      </x:c>
      <x:c r="B6" s="12" t="str">
        <x:v>Sungrow</x:v>
      </x:c>
      <x:c r="C6" s="12" t="str">
        <x:v>SG110CX</x:v>
      </x:c>
      <x:c r="D6" s="17" t="n">
        <x:v>110</x:v>
      </x:c>
      <x:c r="E6" s="17" t="n">
        <x:v>200</x:v>
      </x:c>
      <x:c r="F6" s="17" t="n">
        <x:v>1100</x:v>
      </x:c>
      <x:c r="G6" s="17" t="n">
        <x:v>26</x:v>
      </x:c>
      <x:c r="H6" s="17" t="n">
        <x:v>40</x:v>
      </x:c>
      <x:c r="I6" s="12" t="str"/>
      <x:c r="J6" s="12" t="str"/>
      <x:c r="K6" s="12" t="n">
        <x:v>9</x:v>
      </x:c>
      <x:c r="L6" s="12" t="str">
        <x:v>每路最多2串；MPPT 200–1000 V</x:v>
      </x:c>
      <x:c r="M6" s="12" t="str">
        <x:v>https://en.sungrowpower.com/upload/documentFile/DS_SG110CX%20Datasheet_V14_EN.pdf.pdf</x:v>
      </x:c>
      <x:c r="N6" s="12" t="str">
        <x:v>2026-07-30</x:v>
      </x:c>
    </x:row>
    <x:row r="7">
      <x:c r="A7" s="12" t="str">
        <x:v>逆变器</x:v>
      </x:c>
      <x:c r="B7" s="12" t="str">
        <x:v>Huawei</x:v>
      </x:c>
      <x:c r="C7" s="12" t="str">
        <x:v>SUN2000-100KTL-M2</x:v>
      </x:c>
      <x:c r="D7" s="17" t="n">
        <x:v>100</x:v>
      </x:c>
      <x:c r="E7" s="17" t="n">
        <x:v>200</x:v>
      </x:c>
      <x:c r="F7" s="17" t="n">
        <x:v>1100</x:v>
      </x:c>
      <x:c r="G7" s="17" t="n">
        <x:v>30</x:v>
      </x:c>
      <x:c r="H7" s="17" t="n">
        <x:v>40</x:v>
      </x:c>
      <x:c r="I7" s="12" t="str"/>
      <x:c r="J7" s="12" t="str"/>
      <x:c r="K7" s="12" t="str">
        <x:v>10</x:v>
      </x:c>
      <x:c r="L7" s="12" t="str">
        <x:v>每路最多2路输入；MPPT 200–1000 V</x:v>
      </x:c>
      <x:c r="M7" s="12" t="str">
        <x:v>https://solar.huawei.com/admin/asset/v1/pro/view/0d3b86d0da694d88b8a9871688cda48d.pdf</x:v>
      </x:c>
      <x:c r="N7" s="12" t="str">
        <x:v>2026-07-30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5" hidden="0" customWidth="1"/>
    <x:col min="5" max="5" width="13" hidden="0" customWidth="1"/>
    <x:col min="6" max="6" width="14" hidden="0" customWidth="1"/>
    <x:col min="7" max="7" width="13" hidden="0" customWidth="1"/>
    <x:col min="8" max="8" width="14" hidden="0" customWidth="1"/>
    <x:col min="9" max="9" width="15" hidden="0" customWidth="1"/>
    <x:col min="10" max="10" width="15" hidden="0" customWidth="1"/>
    <x:col min="11" max="11" width="14" hidden="0" customWidth="1"/>
    <x:col min="12" max="12" width="10" hidden="0" customWidth="1"/>
    <x:col min="13" max="13" width="14" hidden="0" customWidth="1"/>
    <x:col min="14" max="14" width="12" hidden="0" customWidth="1"/>
    <x:col min="15" max="15" width="20" hidden="0" customWidth="1"/>
  </x:cols>
  <x:sheetData>
    <x:row r="1">
      <x:c r="A1" s="4" t="str">
        <x:v>组串电压、电流与面积校核</x:v>
      </x:c>
      <x:c r="B1" s="4" t="str">
        <x:v>组串电压、电流与面积校核</x:v>
      </x:c>
      <x:c r="C1" s="4" t="str">
        <x:v>组串电压、电流与面积校核</x:v>
      </x:c>
      <x:c r="D1" s="4" t="str">
        <x:v>组串电压、电流与面积校核</x:v>
      </x:c>
      <x:c r="E1" s="4" t="str">
        <x:v>组串电压、电流与面积校核</x:v>
      </x:c>
      <x:c r="F1" s="4" t="str">
        <x:v>组串电压、电流与面积校核</x:v>
      </x:c>
      <x:c r="G1" s="4" t="str">
        <x:v>组串电压、电流与面积校核</x:v>
      </x:c>
      <x:c r="H1" s="4" t="str">
        <x:v>组串电压、电流与面积校核</x:v>
      </x:c>
      <x:c r="I1" s="4" t="str">
        <x:v>组串电压、电流与面积校核</x:v>
      </x:c>
      <x:c r="J1" s="4" t="str">
        <x:v>组串电压、电流与面积校核</x:v>
      </x:c>
      <x:c r="K1" s="4" t="str">
        <x:v>组串电压、电流与面积校核</x:v>
      </x:c>
      <x:c r="L1" s="4" t="str">
        <x:v>组串电压、电流与面积校核</x:v>
      </x:c>
      <x:c r="M1" s="4" t="str">
        <x:v>组串电压、电流与面积校核</x:v>
      </x:c>
      <x:c r="N1" s="4" t="str">
        <x:v>组串电压、电流与面积校核</x:v>
      </x:c>
      <x:c r="O1" s="4" t="str">
        <x:v>组串电压、电流与面积校核</x:v>
      </x:c>
    </x:row>
    <x:row r="3">
      <x:c r="A3" s="9" t="str">
        <x:v>组件</x:v>
      </x:c>
      <x:c r="B3" s="9" t="str">
        <x:v>逆变器</x:v>
      </x:c>
      <x:c r="C3" s="9" t="str">
        <x:v>串联块数</x:v>
      </x:c>
      <x:c r="D3" s="9" t="str">
        <x:v>并联串数/MPPT</x:v>
      </x:c>
      <x:c r="E3" s="9" t="str">
        <x:v>低温 Voc/块</x:v>
      </x:c>
      <x:c r="F3" s="9" t="str">
        <x:v>低温组串 Voc</x:v>
      </x:c>
      <x:c r="G3" s="9" t="str">
        <x:v>高温 Vmp/块</x:v>
      </x:c>
      <x:c r="H3" s="9" t="str">
        <x:v>高温组串 Vmp</x:v>
      </x:c>
      <x:c r="I3" s="9" t="str">
        <x:v>工作电流/MPPT</x:v>
      </x:c>
      <x:c r="J3" s="9" t="str">
        <x:v>短路电流/MPPT</x:v>
      </x:c>
      <x:c r="K3" s="9" t="str">
        <x:v>直流容量(kWp)</x:v>
      </x:c>
      <x:c r="L3" s="9" t="str">
        <x:v>容量比</x:v>
      </x:c>
      <x:c r="M3" s="9" t="str">
        <x:v>所需面积(m²)</x:v>
      </x:c>
      <x:c r="N3" s="9" t="str">
        <x:v>硬约束结果</x:v>
      </x:c>
      <x:c r="O3" s="9" t="str">
        <x:v>说明</x:v>
      </x:c>
    </x:row>
    <x:row r="4">
      <x:c r="A4" s="12" t="str">
        <x:v>Jinko 585</x:v>
      </x:c>
      <x:c r="B4" s="12" t="str">
        <x:v>Sungrow SG110CX</x:v>
      </x:c>
      <x:c r="C4" s="12" t="n">
        <x:v>19</x:v>
      </x:c>
      <x:c r="D4" s="12" t="n">
        <x:v>1</x:v>
      </x:c>
      <x:c r="E4" s="17" t="n">
        <x:f>'Products'!F4*(1+'Products'!I4*('Inputs'!B8-25))</x:f>
        <x:v>57.061125</x:v>
      </x:c>
      <x:c r="F4" s="17" t="n">
        <x:f>C4*E4</x:f>
        <x:v>1084.161375</x:v>
      </x:c>
      <x:c r="G4" s="17" t="n">
        <x:f>'Products'!E4*(1+'Products'!J4*('Inputs'!B9-25))</x:f>
        <x:v>37.849334999999996</x:v>
      </x:c>
      <x:c r="H4" s="17" t="n">
        <x:f>C4*G4</x:f>
        <x:v>719.1373649999999</x:v>
      </x:c>
      <x:c r="I4" s="17" t="n">
        <x:f>D4*'Products'!G4</x:f>
        <x:v>13.44</x:v>
      </x:c>
      <x:c r="J4" s="17" t="n">
        <x:f>D4*'Products'!H4</x:f>
        <x:v>14.07</x:v>
      </x:c>
      <x:c r="K4" s="17" t="n">
        <x:f>C4*D4*'Products'!D4/1000</x:f>
        <x:v>11.115</x:v>
      </x:c>
      <x:c r="L4" s="19" t="n">
        <x:f>K4/'Inputs'!B6</x:f>
        <x:v>0.11115</x:v>
      </x:c>
      <x:c r="M4" s="17" t="n">
        <x:f>C4*D4*2.58*'Inputs'!B10</x:f>
        <x:v>61.275000000000006</x:v>
      </x:c>
      <x:c r="N4" s="12" t="str">
        <x:f>IF(AND(F4&lt;=1100,H4&gt;=200,H4&lt;=1000,I4&lt;=26,J4&lt;=40),"通过","需复核")</x:f>
        <x:v>通过</x:v>
      </x:c>
      <x:c r="O4" s="12" t="str">
        <x:f>"Jinko参数"</x:f>
        <x:v>Jinko参数</x:v>
      </x:c>
    </x:row>
    <x:row r="5">
      <x:c r="A5" s="12" t="str">
        <x:v>Jinko 585</x:v>
      </x:c>
      <x:c r="B5" s="12" t="str">
        <x:v>Sungrow SG110CX</x:v>
      </x:c>
      <x:c r="C5" s="12" t="n">
        <x:v>18</x:v>
      </x:c>
      <x:c r="D5" s="12" t="n">
        <x:v>1</x:v>
      </x:c>
      <x:c r="E5" s="17" t="n">
        <x:f>'Products'!F4*(1+'Products'!I4*('Inputs'!B8-25))</x:f>
        <x:v>57.061125</x:v>
      </x:c>
      <x:c r="F5" s="17" t="n">
        <x:f>C5*E5</x:f>
        <x:v>1027.10025</x:v>
      </x:c>
      <x:c r="G5" s="17" t="n">
        <x:f>'Products'!E4*(1+'Products'!J4*('Inputs'!B9-25))</x:f>
        <x:v>37.849334999999996</x:v>
      </x:c>
      <x:c r="H5" s="17" t="n">
        <x:f>C5*G5</x:f>
        <x:v>681.2880299999999</x:v>
      </x:c>
      <x:c r="I5" s="17" t="n">
        <x:f>D5*'Products'!G4</x:f>
        <x:v>13.44</x:v>
      </x:c>
      <x:c r="J5" s="17" t="n">
        <x:f>D5*'Products'!H4</x:f>
        <x:v>14.07</x:v>
      </x:c>
      <x:c r="K5" s="17" t="n">
        <x:f>C5*D5*'Products'!D4/1000</x:f>
        <x:v>10.53</x:v>
      </x:c>
      <x:c r="L5" s="19" t="n">
        <x:f>K5/'Inputs'!B6</x:f>
        <x:v>0.10529999999999999</x:v>
      </x:c>
      <x:c r="M5" s="17" t="n">
        <x:f>C5*D5*2.58*'Inputs'!B10</x:f>
        <x:v>58.05</x:v>
      </x:c>
      <x:c r="N5" s="12" t="str">
        <x:f>IF(AND(F5&lt;=1100,H5&gt;=200,H5&lt;=1000,I5&lt;=26,J5&lt;=40),"通过","需复核")</x:f>
        <x:v>通过</x:v>
      </x:c>
      <x:c r="O5" s="12" t="str">
        <x:f>"Jinko参数"</x:f>
        <x:v>Jinko参数</x:v>
      </x:c>
    </x:row>
    <x:row r="6">
      <x:c r="A6" s="12" t="str">
        <x:v>Trina 580</x:v>
      </x:c>
      <x:c r="B6" s="12" t="str">
        <x:v>Huawei 100KTL-M2</x:v>
      </x:c>
      <x:c r="C6" s="12" t="n">
        <x:v>21</x:v>
      </x:c>
      <x:c r="D6" s="12" t="n">
        <x:v>1</x:v>
      </x:c>
      <x:c r="E6" s="17" t="n">
        <x:f>'Products'!F5*(1+'Products'!I5*('Inputs'!B8-25))</x:f>
        <x:v>50.35124999999999</x:v>
      </x:c>
      <x:c r="F6" s="17" t="n">
        <x:f>C6*E6</x:f>
        <x:v>1057.3762499999998</x:v>
      </x:c>
      <x:c r="G6" s="17" t="n">
        <x:f>'Products'!E5*(1+'Products'!J5*('Inputs'!B9-25))</x:f>
        <x:v>33.033</x:v>
      </x:c>
      <x:c r="H6" s="17" t="n">
        <x:f>C6*G6</x:f>
        <x:v>693.693</x:v>
      </x:c>
      <x:c r="I6" s="17" t="n">
        <x:f>D6*'Products'!G5</x:f>
        <x:v>14.86</x:v>
      </x:c>
      <x:c r="J6" s="17" t="n">
        <x:f>D6*'Products'!H5</x:f>
        <x:v>15.94</x:v>
      </x:c>
      <x:c r="K6" s="17" t="n">
        <x:f>C6*D6*'Products'!D5/1000</x:f>
        <x:v>12.18</x:v>
      </x:c>
      <x:c r="L6" s="19" t="n">
        <x:f>K6/'Inputs'!B6</x:f>
        <x:v>0.12179999999999999</x:v>
      </x:c>
      <x:c r="M6" s="17" t="n">
        <x:f>C6*D6*2.58*'Inputs'!B10</x:f>
        <x:v>67.725</x:v>
      </x:c>
      <x:c r="N6" s="12" t="str">
        <x:f>IF(AND(F6&lt;=1100,H6&gt;=200,H6&lt;=1000,I6&lt;=30,J6&lt;=40),"通过","需复核")</x:f>
        <x:v>通过</x:v>
      </x:c>
      <x:c r="O6" s="12" t="str">
        <x:f>"Trina参数"</x:f>
        <x:v>Trina参数</x:v>
      </x:c>
    </x:row>
    <x:row r="7">
      <x:c r="A7" s="12" t="str">
        <x:v>Trina 580</x:v>
      </x:c>
      <x:c r="B7" s="12" t="str">
        <x:v>Huawei 100KTL-M2</x:v>
      </x:c>
      <x:c r="C7" s="12" t="n">
        <x:v>20</x:v>
      </x:c>
      <x:c r="D7" s="12" t="n">
        <x:v>1</x:v>
      </x:c>
      <x:c r="E7" s="17" t="n">
        <x:f>'Products'!F5*(1+'Products'!I5*('Inputs'!B8-25))</x:f>
        <x:v>50.35124999999999</x:v>
      </x:c>
      <x:c r="F7" s="17" t="n">
        <x:f>C7*E7</x:f>
        <x:v>1007.0249999999999</x:v>
      </x:c>
      <x:c r="G7" s="17" t="n">
        <x:f>'Products'!E5*(1+'Products'!J5*('Inputs'!B9-25))</x:f>
        <x:v>33.033</x:v>
      </x:c>
      <x:c r="H7" s="17" t="n">
        <x:f>C7*G7</x:f>
        <x:v>660.6600000000001</x:v>
      </x:c>
      <x:c r="I7" s="17" t="n">
        <x:f>D7*'Products'!G5</x:f>
        <x:v>14.86</x:v>
      </x:c>
      <x:c r="J7" s="17" t="n">
        <x:f>D7*'Products'!H5</x:f>
        <x:v>15.94</x:v>
      </x:c>
      <x:c r="K7" s="17" t="n">
        <x:f>C7*D7*'Products'!D5/1000</x:f>
        <x:v>11.6</x:v>
      </x:c>
      <x:c r="L7" s="19" t="n">
        <x:f>K7/'Inputs'!B6</x:f>
        <x:v>0.11599999999999999</x:v>
      </x:c>
      <x:c r="M7" s="17" t="n">
        <x:f>C7*D7*2.58*'Inputs'!B10</x:f>
        <x:v>64.5</x:v>
      </x:c>
      <x:c r="N7" s="12" t="str">
        <x:f>IF(AND(F7&lt;=1100,H7&gt;=200,H7&lt;=1000,I7&lt;=30,J7&lt;=40),"通过","需复核")</x:f>
        <x:v>通过</x:v>
      </x:c>
      <x:c r="O7" s="12" t="str">
        <x:f>"Trina参数"</x:f>
        <x:v>Trina参数</x:v>
      </x:c>
    </x:row>
  </x:sheetData>
  <x:mergeCells>
    <x:mergeCell ref="A1:O1"/>
  </x:mergeCells>
  <x:conditionalFormatting sqref="N4:N7">
    <x:cfRule type="cellIs" dxfId="0" priority="1">
      <x:formula>"通过"</x:formula>
    </x:cfRule>
    <x:cfRule type="cellIs" dxfId="1" priority="2">
      <x:formula>"需复核"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2" hidden="0" customWidth="1"/>
    <x:col min="5" max="5" width="15" hidden="0" customWidth="1"/>
    <x:col min="6" max="6" width="12" hidden="0" customWidth="1"/>
    <x:col min="7" max="7" width="14" hidden="0" customWidth="1"/>
    <x:col min="8" max="8" width="10" hidden="0" customWidth="1"/>
    <x:col min="9" max="9" width="14" hidden="0" customWidth="1"/>
    <x:col min="10" max="10" width="26" hidden="0" customWidth="1"/>
  </x:cols>
  <x:sheetData>
    <x:row r="1">
      <x:c r="A1" s="4" t="str">
        <x:v>三套方案比较（组件数量按整串取整）</x:v>
      </x:c>
      <x:c r="B1" s="4" t="str">
        <x:v>三套方案比较（组件数量按整串取整）</x:v>
      </x:c>
      <x:c r="C1" s="4" t="str">
        <x:v>三套方案比较（组件数量按整串取整）</x:v>
      </x:c>
      <x:c r="D1" s="4" t="str">
        <x:v>三套方案比较（组件数量按整串取整）</x:v>
      </x:c>
      <x:c r="E1" s="4" t="str">
        <x:v>三套方案比较（组件数量按整串取整）</x:v>
      </x:c>
      <x:c r="F1" s="4" t="str">
        <x:v>三套方案比较（组件数量按整串取整）</x:v>
      </x:c>
      <x:c r="G1" s="4" t="str">
        <x:v>三套方案比较（组件数量按整串取整）</x:v>
      </x:c>
      <x:c r="H1" s="4" t="str">
        <x:v>三套方案比较（组件数量按整串取整）</x:v>
      </x:c>
      <x:c r="I1" s="4" t="str">
        <x:v>三套方案比较（组件数量按整串取整）</x:v>
      </x:c>
      <x:c r="J1" s="4" t="str">
        <x:v>三套方案比较（组件数量按整串取整）</x:v>
      </x:c>
    </x:row>
    <x:row r="3">
      <x:c r="A3" s="9" t="str">
        <x:v>方案</x:v>
      </x:c>
      <x:c r="B3" s="9" t="str">
        <x:v>组件型号</x:v>
      </x:c>
      <x:c r="C3" s="9" t="str">
        <x:v>逆变器</x:v>
      </x:c>
      <x:c r="D3" s="9" t="str">
        <x:v>串联块数</x:v>
      </x:c>
      <x:c r="E3" s="9" t="str">
        <x:v>总组串数</x:v>
      </x:c>
      <x:c r="F3" s="9" t="str">
        <x:v>总组件数</x:v>
      </x:c>
      <x:c r="G3" s="9" t="str">
        <x:v>直流容量(kWp)</x:v>
      </x:c>
      <x:c r="H3" s="9" t="str">
        <x:v>容量比</x:v>
      </x:c>
      <x:c r="I3" s="9" t="str">
        <x:v>面积初核(m²)</x:v>
      </x:c>
      <x:c r="J3" s="9" t="str">
        <x:v>定位</x:v>
      </x:c>
    </x:row>
    <x:row r="4">
      <x:c r="A4" s="12" t="str">
        <x:v>A 保守</x:v>
      </x:c>
      <x:c r="B4" s="12" t="str">
        <x:v>Jinko 585</x:v>
      </x:c>
      <x:c r="C4" s="12" t="str">
        <x:v>Sungrow SG110CX</x:v>
      </x:c>
      <x:c r="D4" s="12" t="n">
        <x:v>19</x:v>
      </x:c>
      <x:c r="E4" s="12" t="n">
        <x:v>9</x:v>
      </x:c>
      <x:c r="F4" s="12" t="n">
        <x:f>D4*E4</x:f>
        <x:v>171</x:v>
      </x:c>
      <x:c r="G4" s="17" t="n">
        <x:f>F4*'Products'!D4/1000</x:f>
        <x:v>100.035</x:v>
      </x:c>
      <x:c r="H4" s="19" t="n">
        <x:f>G4/'Inputs'!B6</x:f>
        <x:v>1.00035</x:v>
      </x:c>
      <x:c r="I4" s="17" t="n">
        <x:f>F4*2.58*'Inputs'!B10</x:f>
        <x:v>551.475</x:v>
      </x:c>
      <x:c r="J4" s="12" t="str">
        <x:v>约100 kWp，面积和直流侧压力较小</x:v>
      </x:c>
    </x:row>
    <x:row r="5">
      <x:c r="A5" s="12" t="str">
        <x:v>B 平衡</x:v>
      </x:c>
      <x:c r="B5" s="12" t="str">
        <x:v>Jinko 585</x:v>
      </x:c>
      <x:c r="C5" s="12" t="str">
        <x:v>Sungrow SG110CX</x:v>
      </x:c>
      <x:c r="D5" s="12" t="n">
        <x:v>19</x:v>
      </x:c>
      <x:c r="E5" s="12" t="n">
        <x:v>10</x:v>
      </x:c>
      <x:c r="F5" s="12" t="n">
        <x:f>D5*E5</x:f>
        <x:v>190</x:v>
      </x:c>
      <x:c r="G5" s="17" t="n">
        <x:f>F5*'Products'!D4/1000</x:f>
        <x:v>111.15</x:v>
      </x:c>
      <x:c r="H5" s="19" t="n">
        <x:f>G5/'Inputs'!B6</x:f>
        <x:v>1.1115000000000002</x:v>
      </x:c>
      <x:c r="I5" s="17" t="n">
        <x:f>F5*2.58*'Inputs'!B10</x:f>
        <x:v>612.75</x:v>
      </x:c>
      <x:c r="J5" s="12" t="str">
        <x:v>约111 kWp，推荐候选</x:v>
      </x:c>
    </x:row>
    <x:row r="6">
      <x:c r="A6" s="12" t="str">
        <x:v>C 偏高</x:v>
      </x:c>
      <x:c r="B6" s="12" t="str">
        <x:v>Trina 580</x:v>
      </x:c>
      <x:c r="C6" s="12" t="str">
        <x:v>Huawei 100KTL-M2</x:v>
      </x:c>
      <x:c r="D6" s="12" t="n">
        <x:v>20</x:v>
      </x:c>
      <x:c r="E6" s="12" t="n">
        <x:v>11</x:v>
      </x:c>
      <x:c r="F6" s="12" t="n">
        <x:f>D6*E6</x:f>
        <x:v>220</x:v>
      </x:c>
      <x:c r="G6" s="17" t="n">
        <x:f>F6*'Products'!D5/1000</x:f>
        <x:v>127.6</x:v>
      </x:c>
      <x:c r="H6" s="19" t="n">
        <x:f>G6/'Inputs'!B6</x:f>
        <x:v>1.276</x:v>
      </x:c>
      <x:c r="I6" s="17" t="n">
        <x:f>F6*2.58*'Inputs'!B10</x:f>
        <x:v>709.5</x:v>
      </x:c>
      <x:c r="J6" s="12" t="str">
        <x:v>约128 kWp，观察削峰和屋顶压力</x:v>
      </x:c>
    </x:row>
    <x:row r="7">
      <x:c r="A7" s="12" t="str">
        <x:v>说明</x:v>
      </x:c>
      <x:c r="B7" s="12" t="str">
        <x:v>三套方案仅作方案级比较</x:v>
      </x:c>
      <x:c r="C7" s="12" t="str"/>
      <x:c r="D7" s="12" t="str"/>
      <x:c r="E7" s="12" t="str"/>
      <x:c r="F7" s="12" t="str"/>
      <x:c r="G7" s="12" t="str"/>
      <x:c r="H7" s="12" t="str"/>
      <x:c r="I7" s="12" t="str"/>
      <x:c r="J7" s="12" t="str">
        <x:v>SAM 年发电量待实际运行</x:v>
      </x:c>
    </x:row>
    <x:row r="9">
      <x:c r="A9" s="9" t="str">
        <x:v>图表数据</x:v>
      </x:c>
      <x:c r="B9" s="9" t="str">
        <x:v>容量比</x:v>
      </x:c>
    </x:row>
    <x:row r="10">
      <x:c r="A10" s="12" t="str">
        <x:v>A 保守</x:v>
      </x:c>
      <x:c r="B10" s="12" t="n">
        <x:f>H4</x:f>
        <x:v>1.00035</x:v>
      </x:c>
    </x:row>
    <x:row r="11">
      <x:c r="A11" s="12" t="str">
        <x:v>B 平衡</x:v>
      </x:c>
      <x:c r="B11" s="12" t="n">
        <x:f>H5</x:f>
        <x:v>1.1115000000000002</x:v>
      </x:c>
    </x:row>
    <x:row r="12">
      <x:c r="A12" s="12" t="str">
        <x:v>C 偏高</x:v>
      </x:c>
      <x:c r="B12" s="12" t="n">
        <x:f>H6</x:f>
        <x:v>1.276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09cc6af58ae74ec2"/>
</x:worksheet>
</file>